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28036266-2D56-48B6-B9BD-7353FB2A3BB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isk Register" sheetId="1" r:id="rId1"/>
  </sheets>
  <definedNames>
    <definedName name="_xlnm._FilterDatabase" localSheetId="0" hidden="1">'Risk Register'!$A$1:$R$1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H2" i="1"/>
</calcChain>
</file>

<file path=xl/sharedStrings.xml><?xml version="1.0" encoding="utf-8"?>
<sst xmlns="http://schemas.openxmlformats.org/spreadsheetml/2006/main" count="116" uniqueCount="92">
  <si>
    <t>Risk ID</t>
  </si>
  <si>
    <t>Asset</t>
  </si>
  <si>
    <t>Threat</t>
  </si>
  <si>
    <t>Vulnerability</t>
  </si>
  <si>
    <t>Risk Description</t>
  </si>
  <si>
    <t>Likelihood</t>
  </si>
  <si>
    <t>Impact</t>
  </si>
  <si>
    <t>Risk Score</t>
  </si>
  <si>
    <t>Risk Level</t>
  </si>
  <si>
    <t>Risk Owner</t>
  </si>
  <si>
    <t>Existing Controls</t>
  </si>
  <si>
    <t>Treatment Strategy</t>
  </si>
  <si>
    <t>Treatment Actions</t>
  </si>
  <si>
    <t>Residual Likelihood</t>
  </si>
  <si>
    <t>Residual Impact</t>
  </si>
  <si>
    <t>Residual Risk Score</t>
  </si>
  <si>
    <t>Status</t>
  </si>
  <si>
    <t>Review Date</t>
  </si>
  <si>
    <t>R-001</t>
  </si>
  <si>
    <t>Customer CRM</t>
  </si>
  <si>
    <t>Ransomware</t>
  </si>
  <si>
    <t>Outdated patching</t>
  </si>
  <si>
    <t>Ransomware infection of CRM system leading to operational disruption, data loss and business downtime</t>
  </si>
  <si>
    <t>High</t>
  </si>
  <si>
    <t>Head of IT Security</t>
  </si>
  <si>
    <t>Endpoint Detection &amp; Response (EDR), basic network segmentation</t>
  </si>
  <si>
    <t>Reduce</t>
  </si>
  <si>
    <t>- Implement centralized patch management
- enforce patch cycles 
- improve backup isolation and network segmentation</t>
  </si>
  <si>
    <t>Open</t>
  </si>
  <si>
    <t>Risk Legend (5x5 Risk Matrix)</t>
  </si>
  <si>
    <t>R-002</t>
  </si>
  <si>
    <t>Production System (MES)</t>
  </si>
  <si>
    <t>System Failure</t>
  </si>
  <si>
    <t>Lack of redundancy and insufficient monitoring</t>
  </si>
  <si>
    <t>Production system outage leading to manufacturing downtime and delayed deliveries</t>
  </si>
  <si>
    <t>IT Operations Manager</t>
  </si>
  <si>
    <t>Basic monitoring</t>
  </si>
  <si>
    <t>- Implement redundancy 
- improve monitoring and alert
- define recovery procedures</t>
  </si>
  <si>
    <t>Scale: 1 (Very Low) – 5 (Very High)</t>
  </si>
  <si>
    <t>R-003</t>
  </si>
  <si>
    <t>Supplier Interface (EDI)</t>
  </si>
  <si>
    <t>Third-party compromise</t>
  </si>
  <si>
    <t>Missing supplier security assessments</t>
  </si>
  <si>
    <t>Supplier breach leading to unauthorized access or data leakage</t>
  </si>
  <si>
    <t>Medium</t>
  </si>
  <si>
    <t>Procurement &amp; IT</t>
  </si>
  <si>
    <t>Basic contractual agreements</t>
  </si>
  <si>
    <t>- Introduce supplier security assesments 
- Define security requirements 
- perform regular audits</t>
  </si>
  <si>
    <t>R-004</t>
  </si>
  <si>
    <t>Backup System</t>
  </si>
  <si>
    <t>Backup Failure</t>
  </si>
  <si>
    <t>Backups not regularly tested</t>
  </si>
  <si>
    <t>Failure to restore systems due to corrupted or outdated backups during incident recovery</t>
  </si>
  <si>
    <t>IT Operations</t>
  </si>
  <si>
    <t>Backup system implemented</t>
  </si>
  <si>
    <t>- Introduce regular backup testing 
- Implement offline backups
- Perform recovery drills</t>
  </si>
  <si>
    <t>1 - 5</t>
  </si>
  <si>
    <t>Low</t>
  </si>
  <si>
    <t>R-005</t>
  </si>
  <si>
    <t>Internal Systems</t>
  </si>
  <si>
    <t>Insider Misuse</t>
  </si>
  <si>
    <t>Excessive access rights and lack of monitoring</t>
  </si>
  <si>
    <t>Unauthorized use of privileges leading to data manipulation or leakage</t>
  </si>
  <si>
    <t>IT Security</t>
  </si>
  <si>
    <t>Role-based access control</t>
  </si>
  <si>
    <t>- Enforce least privilege principle
- conduct regular access reviews
- Implement logging and monitoring</t>
  </si>
  <si>
    <t>6 - 14</t>
  </si>
  <si>
    <t>R-006</t>
  </si>
  <si>
    <t>Customer Data</t>
  </si>
  <si>
    <t>Data Leakage</t>
  </si>
  <si>
    <t>Lack of data classification and encryption</t>
  </si>
  <si>
    <t>Unauthorized exposure of sensitive customer data leading to compliance violations and reputational damage</t>
  </si>
  <si>
    <t>Data Protection Officer</t>
  </si>
  <si>
    <t>Basic Access Control</t>
  </si>
  <si>
    <t>- implement data classification 
- Enforce encryption for sensitive data 
- Restrict access to critical datasets</t>
  </si>
  <si>
    <t>15 - 25</t>
  </si>
  <si>
    <t>R-007</t>
  </si>
  <si>
    <t>Network Infrastructure</t>
  </si>
  <si>
    <t>Lateral Movement</t>
  </si>
  <si>
    <t>Lack of network segmentation between IT and OT</t>
  </si>
  <si>
    <t>Attackers moving laterally across the network, potentially impacting production systems</t>
  </si>
  <si>
    <t>IT Infrastructure Manager</t>
  </si>
  <si>
    <t>Basic Firewall Rules</t>
  </si>
  <si>
    <t>- Implement Network segmentation (IT/OT seperation)
- Introduce zero-trust principles
- Monitor internal traffic</t>
  </si>
  <si>
    <t>R-008</t>
  </si>
  <si>
    <t>User Accounts</t>
  </si>
  <si>
    <t>Credential Compromise</t>
  </si>
  <si>
    <t>Weak password policies and lack of MFA</t>
  </si>
  <si>
    <t>Unauthorized access due to compromised credentials leading to system misuse</t>
  </si>
  <si>
    <t>Basic password policy</t>
  </si>
  <si>
    <t>- Enforce strong password policy
- Implement Multi-factor authentication (MFA)
- Monitor login anomalies</t>
  </si>
  <si>
    <t>R-009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</si>
</sst>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3" borderId="7" xfId="0" applyNumberForma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9">
    <dxf>
      <font>
        <color rgb="FF9C0006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00B050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77111117893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workbookViewId="0">
      <pane ySplit="1" topLeftCell="G2" activePane="bottomLeft" state="frozen"/>
      <selection pane="bottomLeft" activeCell="AA5" sqref="AA5"/>
    </sheetView>
  </sheetViews>
  <sheetFormatPr defaultRowHeight="15"/>
  <cols>
    <col min="1" max="1" width="6.85546875" style="3" bestFit="1" customWidth="1"/>
    <col min="2" max="2" width="22.85546875" style="3" bestFit="1" customWidth="1"/>
    <col min="3" max="3" width="22" style="3" bestFit="1" customWidth="1"/>
    <col min="4" max="4" width="44.28515625" style="3" customWidth="1"/>
    <col min="5" max="5" width="83.5703125" style="3" customWidth="1"/>
    <col min="6" max="6" width="10" style="2" bestFit="1" customWidth="1"/>
    <col min="7" max="7" width="7" style="2" bestFit="1" customWidth="1"/>
    <col min="8" max="8" width="9.85546875" style="6" bestFit="1" customWidth="1"/>
    <col min="9" max="9" width="9.5703125" style="7" bestFit="1" customWidth="1"/>
    <col min="10" max="10" width="23.28515625" style="3" bestFit="1" customWidth="1"/>
    <col min="11" max="11" width="36.5703125" style="3" bestFit="1" customWidth="1"/>
    <col min="12" max="12" width="18.140625" style="3" bestFit="1" customWidth="1"/>
    <col min="13" max="13" width="41.7109375" style="11" customWidth="1"/>
    <col min="14" max="14" width="18.140625" style="2" bestFit="1" customWidth="1"/>
    <col min="15" max="15" width="15" style="2" bestFit="1" customWidth="1"/>
    <col min="16" max="16" width="17.85546875" style="2" bestFit="1" customWidth="1"/>
    <col min="17" max="17" width="6.42578125" style="3" bestFit="1" customWidth="1"/>
    <col min="18" max="18" width="19" style="3" bestFit="1" customWidth="1"/>
    <col min="19" max="19" width="9.140625" style="3"/>
    <col min="20" max="20" width="15.85546875" style="3" bestFit="1" customWidth="1"/>
    <col min="21" max="16384" width="9.140625" style="3"/>
  </cols>
  <sheetData>
    <row r="1" spans="1:23" s="10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2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</row>
    <row r="2" spans="1:23" ht="76.5" customHeight="1">
      <c r="A2" s="3" t="s">
        <v>18</v>
      </c>
      <c r="B2" s="3" t="s">
        <v>19</v>
      </c>
      <c r="C2" s="3" t="s">
        <v>20</v>
      </c>
      <c r="D2" s="3" t="s">
        <v>21</v>
      </c>
      <c r="E2" s="4" t="s">
        <v>22</v>
      </c>
      <c r="F2" s="2">
        <v>4</v>
      </c>
      <c r="G2" s="2">
        <v>5</v>
      </c>
      <c r="H2" s="6">
        <f>F2*G2</f>
        <v>20</v>
      </c>
      <c r="I2" s="7" t="s">
        <v>23</v>
      </c>
      <c r="J2" s="3" t="s">
        <v>24</v>
      </c>
      <c r="K2" s="4" t="s">
        <v>25</v>
      </c>
      <c r="L2" s="3" t="s">
        <v>26</v>
      </c>
      <c r="M2" s="13" t="s">
        <v>27</v>
      </c>
      <c r="N2" s="2">
        <v>2</v>
      </c>
      <c r="O2" s="2">
        <v>4</v>
      </c>
      <c r="P2" s="2">
        <f>N2*O2</f>
        <v>8</v>
      </c>
      <c r="Q2" s="3" t="s">
        <v>28</v>
      </c>
      <c r="R2" s="5">
        <v>46070.611215469551</v>
      </c>
      <c r="T2" s="17" t="s">
        <v>29</v>
      </c>
      <c r="U2" s="18"/>
      <c r="V2" s="18"/>
      <c r="W2" s="19"/>
    </row>
    <row r="3" spans="1:23" ht="45.75">
      <c r="A3" s="3" t="s">
        <v>30</v>
      </c>
      <c r="B3" s="3" t="s">
        <v>31</v>
      </c>
      <c r="C3" s="3" t="s">
        <v>32</v>
      </c>
      <c r="D3" s="3" t="s">
        <v>33</v>
      </c>
      <c r="E3" s="3" t="s">
        <v>34</v>
      </c>
      <c r="F3" s="2">
        <v>3</v>
      </c>
      <c r="G3" s="2">
        <v>5</v>
      </c>
      <c r="H3" s="2">
        <v>15</v>
      </c>
      <c r="I3" s="3" t="s">
        <v>23</v>
      </c>
      <c r="J3" s="3" t="s">
        <v>35</v>
      </c>
      <c r="K3" s="3" t="s">
        <v>36</v>
      </c>
      <c r="L3" s="3" t="s">
        <v>26</v>
      </c>
      <c r="M3" s="13" t="s">
        <v>37</v>
      </c>
      <c r="N3" s="2">
        <v>2</v>
      </c>
      <c r="O3" s="2">
        <v>4</v>
      </c>
      <c r="P3" s="2">
        <v>9</v>
      </c>
      <c r="Q3" s="3" t="s">
        <v>28</v>
      </c>
      <c r="T3" s="20" t="s">
        <v>38</v>
      </c>
      <c r="U3" s="21"/>
      <c r="V3" s="21"/>
      <c r="W3" s="22"/>
    </row>
    <row r="4" spans="1:23" ht="45.7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2">
        <v>3</v>
      </c>
      <c r="G4" s="2">
        <v>4</v>
      </c>
      <c r="H4" s="2">
        <v>12</v>
      </c>
      <c r="I4" s="3" t="s">
        <v>44</v>
      </c>
      <c r="J4" s="3" t="s">
        <v>45</v>
      </c>
      <c r="K4" s="3" t="s">
        <v>46</v>
      </c>
      <c r="L4" s="3" t="s">
        <v>26</v>
      </c>
      <c r="M4" s="13" t="s">
        <v>47</v>
      </c>
      <c r="N4" s="2">
        <v>2</v>
      </c>
      <c r="O4" s="2">
        <v>3</v>
      </c>
      <c r="P4" s="2">
        <v>6</v>
      </c>
      <c r="Q4" s="3" t="s">
        <v>28</v>
      </c>
      <c r="T4" s="25" t="s">
        <v>7</v>
      </c>
      <c r="U4" s="25"/>
      <c r="V4" s="23"/>
      <c r="W4" s="24"/>
    </row>
    <row r="5" spans="1:23" ht="45.75">
      <c r="A5" s="3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2">
        <v>3</v>
      </c>
      <c r="G5" s="2">
        <v>5</v>
      </c>
      <c r="H5" s="2">
        <v>15</v>
      </c>
      <c r="I5" s="3" t="s">
        <v>23</v>
      </c>
      <c r="J5" s="3" t="s">
        <v>53</v>
      </c>
      <c r="K5" s="3" t="s">
        <v>54</v>
      </c>
      <c r="L5" s="3" t="s">
        <v>26</v>
      </c>
      <c r="M5" s="13" t="s">
        <v>55</v>
      </c>
      <c r="N5" s="2">
        <v>2</v>
      </c>
      <c r="O5" s="2">
        <v>4</v>
      </c>
      <c r="P5" s="2">
        <v>8</v>
      </c>
      <c r="Q5" s="3" t="s">
        <v>28</v>
      </c>
      <c r="T5" s="16" t="s">
        <v>56</v>
      </c>
      <c r="U5" s="16"/>
      <c r="V5" s="25" t="s">
        <v>57</v>
      </c>
      <c r="W5" s="25"/>
    </row>
    <row r="6" spans="1:23" ht="45.75">
      <c r="A6" s="3" t="s">
        <v>58</v>
      </c>
      <c r="B6" s="3" t="s">
        <v>59</v>
      </c>
      <c r="C6" s="3" t="s">
        <v>60</v>
      </c>
      <c r="D6" s="3" t="s">
        <v>61</v>
      </c>
      <c r="E6" s="3" t="s">
        <v>62</v>
      </c>
      <c r="F6" s="2">
        <v>3</v>
      </c>
      <c r="G6" s="2">
        <v>4</v>
      </c>
      <c r="H6" s="2">
        <v>12</v>
      </c>
      <c r="I6" s="3" t="s">
        <v>44</v>
      </c>
      <c r="J6" s="3" t="s">
        <v>63</v>
      </c>
      <c r="K6" s="3" t="s">
        <v>64</v>
      </c>
      <c r="L6" s="3" t="s">
        <v>26</v>
      </c>
      <c r="M6" s="13" t="s">
        <v>65</v>
      </c>
      <c r="N6" s="2">
        <v>2</v>
      </c>
      <c r="O6" s="2">
        <v>3</v>
      </c>
      <c r="P6" s="2">
        <v>6</v>
      </c>
      <c r="Q6" s="3" t="s">
        <v>28</v>
      </c>
      <c r="T6" s="14" t="s">
        <v>66</v>
      </c>
      <c r="U6" s="14"/>
      <c r="V6" s="25" t="s">
        <v>44</v>
      </c>
      <c r="W6" s="25"/>
    </row>
    <row r="7" spans="1:23" ht="45.75">
      <c r="A7" s="3" t="s">
        <v>67</v>
      </c>
      <c r="B7" t="s">
        <v>68</v>
      </c>
      <c r="C7" t="s">
        <v>69</v>
      </c>
      <c r="D7" t="s">
        <v>70</v>
      </c>
      <c r="E7" s="1" t="s">
        <v>71</v>
      </c>
      <c r="F7" s="2">
        <v>3</v>
      </c>
      <c r="G7" s="2">
        <v>4</v>
      </c>
      <c r="H7" s="2">
        <v>12</v>
      </c>
      <c r="I7" s="3" t="s">
        <v>44</v>
      </c>
      <c r="J7" s="3" t="s">
        <v>72</v>
      </c>
      <c r="K7" s="3" t="s">
        <v>73</v>
      </c>
      <c r="L7" s="3" t="s">
        <v>26</v>
      </c>
      <c r="M7" s="13" t="s">
        <v>74</v>
      </c>
      <c r="N7" s="2">
        <v>2</v>
      </c>
      <c r="O7" s="2">
        <v>3</v>
      </c>
      <c r="P7" s="2">
        <v>6</v>
      </c>
      <c r="Q7" s="3" t="s">
        <v>28</v>
      </c>
      <c r="T7" s="15" t="s">
        <v>75</v>
      </c>
      <c r="U7" s="15"/>
      <c r="V7" s="25" t="s">
        <v>23</v>
      </c>
      <c r="W7" s="25"/>
    </row>
    <row r="8" spans="1:23" ht="60.75">
      <c r="A8" s="3" t="s">
        <v>76</v>
      </c>
      <c r="B8" t="s">
        <v>77</v>
      </c>
      <c r="C8" t="s">
        <v>78</v>
      </c>
      <c r="D8" t="s">
        <v>79</v>
      </c>
      <c r="E8" t="s">
        <v>80</v>
      </c>
      <c r="F8" s="2">
        <v>3</v>
      </c>
      <c r="G8" s="2">
        <v>5</v>
      </c>
      <c r="H8" s="2">
        <v>15</v>
      </c>
      <c r="I8" s="3" t="s">
        <v>23</v>
      </c>
      <c r="J8" s="3" t="s">
        <v>81</v>
      </c>
      <c r="K8" s="3" t="s">
        <v>82</v>
      </c>
      <c r="L8" s="3" t="s">
        <v>26</v>
      </c>
      <c r="M8" s="13" t="s">
        <v>83</v>
      </c>
      <c r="N8" s="2">
        <v>2</v>
      </c>
      <c r="O8" s="2">
        <v>4</v>
      </c>
      <c r="P8" s="2">
        <v>8</v>
      </c>
      <c r="Q8" s="3" t="s">
        <v>28</v>
      </c>
    </row>
    <row r="9" spans="1:23" ht="45.75">
      <c r="A9" s="3" t="s">
        <v>84</v>
      </c>
      <c r="B9" t="s">
        <v>85</v>
      </c>
      <c r="C9" t="s">
        <v>86</v>
      </c>
      <c r="D9" t="s">
        <v>87</v>
      </c>
      <c r="E9" t="s">
        <v>88</v>
      </c>
      <c r="F9" s="2">
        <v>4</v>
      </c>
      <c r="G9" s="2">
        <v>3</v>
      </c>
      <c r="H9" s="2">
        <v>12</v>
      </c>
      <c r="I9" s="3" t="s">
        <v>44</v>
      </c>
      <c r="J9" s="3" t="s">
        <v>63</v>
      </c>
      <c r="K9" s="3" t="s">
        <v>89</v>
      </c>
      <c r="L9" s="3" t="s">
        <v>26</v>
      </c>
      <c r="M9" s="13" t="s">
        <v>90</v>
      </c>
      <c r="N9" s="2">
        <v>2</v>
      </c>
      <c r="O9" s="2">
        <v>3</v>
      </c>
      <c r="P9" s="2">
        <v>6</v>
      </c>
      <c r="Q9" s="3" t="s">
        <v>28</v>
      </c>
    </row>
    <row r="10" spans="1:23" ht="15" customHeight="1">
      <c r="A10" s="3" t="s">
        <v>91</v>
      </c>
      <c r="H10" s="2"/>
      <c r="I10" s="3"/>
    </row>
    <row r="11" spans="1:23">
      <c r="H11" s="2"/>
      <c r="I11" s="3"/>
    </row>
    <row r="12" spans="1:23">
      <c r="H12" s="2"/>
      <c r="I12" s="3"/>
    </row>
    <row r="13" spans="1:23">
      <c r="H13" s="2"/>
      <c r="I13" s="3"/>
    </row>
    <row r="14" spans="1:23">
      <c r="H14" s="2"/>
      <c r="I14" s="3"/>
    </row>
    <row r="15" spans="1:23">
      <c r="H15" s="2"/>
      <c r="I15" s="3"/>
    </row>
    <row r="16" spans="1:23">
      <c r="H16" s="2"/>
      <c r="I16" s="3"/>
    </row>
    <row r="17" spans="8:10">
      <c r="H17" s="2"/>
      <c r="I17" s="3"/>
    </row>
    <row r="18" spans="8:10">
      <c r="H18" s="2"/>
      <c r="I18" s="3"/>
    </row>
    <row r="19" spans="8:10">
      <c r="H19" s="2"/>
      <c r="I19" s="3"/>
    </row>
    <row r="20" spans="8:10">
      <c r="H20" s="2"/>
      <c r="I20" s="3"/>
      <c r="J20" s="4"/>
    </row>
    <row r="21" spans="8:10">
      <c r="H21" s="2"/>
      <c r="I21" s="3"/>
    </row>
    <row r="22" spans="8:10">
      <c r="H22" s="2"/>
      <c r="I22" s="3"/>
    </row>
    <row r="23" spans="8:10">
      <c r="H23" s="2"/>
      <c r="I23" s="3"/>
    </row>
    <row r="24" spans="8:10">
      <c r="H24" s="2"/>
      <c r="I24" s="3"/>
    </row>
    <row r="25" spans="8:10">
      <c r="H25" s="2"/>
      <c r="I25" s="3"/>
    </row>
    <row r="26" spans="8:10">
      <c r="H26" s="2"/>
      <c r="I26" s="3"/>
    </row>
    <row r="27" spans="8:10">
      <c r="H27" s="2"/>
      <c r="I27" s="3"/>
    </row>
    <row r="28" spans="8:10">
      <c r="H28" s="2"/>
      <c r="I28" s="3"/>
    </row>
    <row r="29" spans="8:10">
      <c r="H29" s="2"/>
      <c r="I29" s="3"/>
    </row>
    <row r="30" spans="8:10">
      <c r="H30" s="2"/>
      <c r="I30" s="3"/>
    </row>
    <row r="31" spans="8:10">
      <c r="H31" s="2"/>
      <c r="I31" s="3"/>
    </row>
    <row r="32" spans="8:10">
      <c r="H32" s="2"/>
      <c r="I32" s="3"/>
    </row>
    <row r="33" spans="8:9">
      <c r="H33" s="2"/>
      <c r="I33" s="3"/>
    </row>
    <row r="34" spans="8:9">
      <c r="H34" s="2"/>
      <c r="I34" s="3"/>
    </row>
    <row r="35" spans="8:9">
      <c r="H35" s="2"/>
      <c r="I35" s="3"/>
    </row>
    <row r="36" spans="8:9">
      <c r="H36" s="2"/>
      <c r="I36" s="3"/>
    </row>
    <row r="37" spans="8:9">
      <c r="H37" s="2"/>
      <c r="I37" s="3"/>
    </row>
    <row r="38" spans="8:9">
      <c r="H38" s="2"/>
      <c r="I38" s="3"/>
    </row>
    <row r="39" spans="8:9">
      <c r="H39" s="2"/>
      <c r="I39" s="3"/>
    </row>
    <row r="40" spans="8:9">
      <c r="H40" s="2"/>
      <c r="I40" s="3"/>
    </row>
    <row r="41" spans="8:9">
      <c r="H41" s="2"/>
      <c r="I41" s="3"/>
    </row>
    <row r="42" spans="8:9">
      <c r="H42" s="2"/>
      <c r="I42" s="3"/>
    </row>
    <row r="43" spans="8:9">
      <c r="H43" s="2"/>
      <c r="I43" s="3"/>
    </row>
    <row r="44" spans="8:9">
      <c r="H44" s="2"/>
      <c r="I44" s="3"/>
    </row>
    <row r="45" spans="8:9">
      <c r="H45" s="2"/>
      <c r="I45" s="3"/>
    </row>
    <row r="46" spans="8:9">
      <c r="H46" s="2"/>
      <c r="I46" s="3"/>
    </row>
    <row r="47" spans="8:9">
      <c r="H47" s="2"/>
      <c r="I47" s="3"/>
    </row>
    <row r="48" spans="8:9">
      <c r="H48" s="2"/>
      <c r="I48" s="3"/>
    </row>
    <row r="49" spans="8:9">
      <c r="H49" s="2"/>
      <c r="I49" s="3"/>
    </row>
    <row r="50" spans="8:9">
      <c r="H50" s="2"/>
      <c r="I50" s="3"/>
    </row>
  </sheetData>
  <autoFilter ref="A1:R1" xr:uid="{00000000-0001-0000-0000-000000000000}"/>
  <mergeCells count="10">
    <mergeCell ref="V5:W5"/>
    <mergeCell ref="V6:W6"/>
    <mergeCell ref="V7:W7"/>
    <mergeCell ref="T3:W3"/>
    <mergeCell ref="T2:W2"/>
    <mergeCell ref="T4:U4"/>
    <mergeCell ref="T5:U5"/>
    <mergeCell ref="T6:U6"/>
    <mergeCell ref="T7:U7"/>
    <mergeCell ref="V4:W4"/>
  </mergeCells>
  <conditionalFormatting sqref="H2:H20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ntainsText" dxfId="8" priority="10" operator="containsText" text="High">
      <formula>NOT(ISERROR(SEARCH("High",I1)))</formula>
    </cfRule>
  </conditionalFormatting>
  <conditionalFormatting sqref="I1:I1048576">
    <cfRule type="containsText" dxfId="7" priority="8" operator="containsText" text="Medium">
      <formula>NOT(ISERROR(SEARCH("Medium",I1)))</formula>
    </cfRule>
  </conditionalFormatting>
  <conditionalFormatting sqref="I1:I1048576">
    <cfRule type="containsText" dxfId="6" priority="7" operator="containsText" text="Low">
      <formula>NOT(ISERROR(SEARCH("Low",I1)))</formula>
    </cfRule>
  </conditionalFormatting>
  <conditionalFormatting sqref="H2:H200">
    <cfRule type="cellIs" dxfId="5" priority="6" operator="greaterThan">
      <formula>14</formula>
    </cfRule>
  </conditionalFormatting>
  <conditionalFormatting sqref="H1:H1048576">
    <cfRule type="cellIs" dxfId="4" priority="5" operator="between">
      <formula>6</formula>
      <formula>14</formula>
    </cfRule>
  </conditionalFormatting>
  <conditionalFormatting sqref="H1:H1048576">
    <cfRule type="cellIs" dxfId="3" priority="4" operator="between">
      <formula>1</formula>
      <formula>5</formula>
    </cfRule>
  </conditionalFormatting>
  <conditionalFormatting sqref="P2:P200">
    <cfRule type="cellIs" dxfId="2" priority="3" operator="between">
      <formula>1</formula>
      <formula>5</formula>
    </cfRule>
  </conditionalFormatting>
  <conditionalFormatting sqref="P2:P200">
    <cfRule type="cellIs" dxfId="1" priority="2" operator="between">
      <formula>6</formula>
      <formula>14</formula>
    </cfRule>
  </conditionalFormatting>
  <conditionalFormatting sqref="P2:P200">
    <cfRule type="cellIs" dxfId="0" priority="1" operator="greaterThan">
      <formula>14</formula>
    </cfRule>
  </conditionalFormatting>
  <dataValidations count="3">
    <dataValidation type="whole" sqref="N51:O200 N2:O2 F2:G2 F51:G200" xr:uid="{00000000-0002-0000-0000-000000000000}">
      <formula1>1</formula1>
      <formula2>5</formula2>
    </dataValidation>
    <dataValidation type="list" sqref="L2 L51:L200" xr:uid="{00000000-0002-0000-0000-000001000000}">
      <formula1>"Avoid,Reduce,Transfer,Accept"</formula1>
    </dataValidation>
    <dataValidation type="list" sqref="Q2 Q51:Q200" xr:uid="{00000000-0002-0000-0000-000002000000}">
      <formula1>"Open,In Progress,Accepted,Mitigated,Closed"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2026-02-17T14:40:09Z</dcterms:created>
  <dcterms:modified xsi:type="dcterms:W3CDTF">2026-04-04T18:41:44Z</dcterms:modified>
  <cp:category/>
  <cp:contentStatus/>
</cp:coreProperties>
</file>